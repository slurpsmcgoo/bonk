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ilities" sheetId="1" r:id="rId5"/>
    <sheet state="visible" name="Pacing" sheetId="2" r:id="rId6"/>
  </sheets>
  <definedNames>
    <definedName name="vo2maxpace">Pacing!$A$24</definedName>
    <definedName name="hour">Pacing!$B$24</definedName>
  </definedNames>
  <calcPr/>
</workbook>
</file>

<file path=xl/sharedStrings.xml><?xml version="1.0" encoding="utf-8"?>
<sst xmlns="http://schemas.openxmlformats.org/spreadsheetml/2006/main" count="127" uniqueCount="59">
  <si>
    <t>Carb Utilization</t>
  </si>
  <si>
    <t>Exercise Intensity (% VO2max)</t>
  </si>
  <si>
    <t>Carbohydrate Usage (%)</t>
  </si>
  <si>
    <t>Aid Station</t>
  </si>
  <si>
    <t>Distance</t>
  </si>
  <si>
    <t>Drop Bag</t>
  </si>
  <si>
    <t>Crew</t>
  </si>
  <si>
    <t>Pacer</t>
  </si>
  <si>
    <t>Cut Offs</t>
  </si>
  <si>
    <t>Aid Type</t>
  </si>
  <si>
    <t>Cumulative Dist</t>
  </si>
  <si>
    <t>Vo2max percent</t>
  </si>
  <si>
    <t>Pace</t>
  </si>
  <si>
    <t>Duration</t>
  </si>
  <si>
    <t>Time</t>
  </si>
  <si>
    <t>Crew gap</t>
  </si>
  <si>
    <t>Total Caloric Demand</t>
  </si>
  <si>
    <t>Carb usage</t>
  </si>
  <si>
    <t>CarbCalsConsumed</t>
  </si>
  <si>
    <t>Grams Carbs</t>
  </si>
  <si>
    <t>Section grams needed</t>
  </si>
  <si>
    <t>Grams per hour</t>
  </si>
  <si>
    <t>G gatorade per hour</t>
  </si>
  <si>
    <t>G per bag</t>
  </si>
  <si>
    <t>Num bags</t>
  </si>
  <si>
    <t>Water per hour</t>
  </si>
  <si>
    <t>Water</t>
  </si>
  <si>
    <t>Temp (°F)</t>
  </si>
  <si>
    <t>Humidity (%)</t>
  </si>
  <si>
    <t>Cloud Cover</t>
  </si>
  <si>
    <t>Temp (°C)</t>
  </si>
  <si>
    <t>Dew point</t>
  </si>
  <si>
    <t>Wet bulb</t>
  </si>
  <si>
    <t>Sweat rate (L/hr)</t>
  </si>
  <si>
    <t>Start Waterloo-Pinckney</t>
  </si>
  <si>
    <t>Yes</t>
  </si>
  <si>
    <t>No</t>
  </si>
  <si>
    <t>Full</t>
  </si>
  <si>
    <t>AS1 Mt. Hope Road (Mile 6.7)</t>
  </si>
  <si>
    <t>H2O Only</t>
  </si>
  <si>
    <t>AS2 Baldwin Road (Mile 10.6)</t>
  </si>
  <si>
    <t>AS3 Discovery Center (Mile 18.6)</t>
  </si>
  <si>
    <t>AS4 Park Lyndon East (Mile 24.4)</t>
  </si>
  <si>
    <t>AS5 Hankerd Road (Mile 31.1)</t>
  </si>
  <si>
    <t>AS6 Silver Lake (Mile 35.4)</t>
  </si>
  <si>
    <t>AS7 Gosling Lake (Mile 40.7)</t>
  </si>
  <si>
    <t>AS8 Lakelands Trail (Mile 47.1)</t>
  </si>
  <si>
    <t>AS9 Maple Shelter (Mile 55.)</t>
  </si>
  <si>
    <t>AS10 Teahen Road (59.6)</t>
  </si>
  <si>
    <t>AS11 Sandhill Shelter (Mile 62.8)</t>
  </si>
  <si>
    <t>AS12 Huron Meadows (Mile 69.5)</t>
  </si>
  <si>
    <t>AS13 Fire Trail (Mile 75)</t>
  </si>
  <si>
    <t>AS14 Spring Mill Pond (Mile 79.5)</t>
  </si>
  <si>
    <t>AS15 Hickory Shelter (Mile 87)</t>
  </si>
  <si>
    <t>AS16 Windfall Hill (Mile 92)</t>
  </si>
  <si>
    <t>Finish Proud Lake (Mile 100)</t>
  </si>
  <si>
    <t>Total</t>
  </si>
  <si>
    <t>Vo2maxPace</t>
  </si>
  <si>
    <t>1 hour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</si>
</sst>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m/d/yyyy h:mm:ss"/>
    <numFmt numFmtId="166" formatCode="0.0"/>
    <numFmt numFmtId="167" formatCode="h:mm am/p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1" numFmtId="4" xfId="0" applyAlignment="1" applyFont="1" applyNumberFormat="1">
      <alignment readingOrder="0"/>
    </xf>
    <xf borderId="0" fillId="2" fontId="1" numFmtId="46" xfId="0" applyAlignment="1" applyFont="1" applyNumberFormat="1">
      <alignment readingOrder="0"/>
    </xf>
    <xf borderId="0" fillId="2" fontId="1" numFmtId="164" xfId="0" applyAlignment="1" applyFont="1" applyNumberFormat="1">
      <alignment readingOrder="0"/>
    </xf>
    <xf borderId="0" fillId="2" fontId="1" numFmtId="46" xfId="0" applyFont="1" applyNumberFormat="1"/>
    <xf borderId="0" fillId="2" fontId="1" numFmtId="1" xfId="0" applyFont="1" applyNumberFormat="1"/>
    <xf borderId="0" fillId="2" fontId="1" numFmtId="10" xfId="0" applyAlignment="1" applyFont="1" applyNumberFormat="1">
      <alignment readingOrder="0"/>
    </xf>
    <xf borderId="0" fillId="2" fontId="1" numFmtId="3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2" xfId="0" applyAlignment="1" applyFont="1" applyNumberFormat="1">
      <alignment readingOrder="0"/>
    </xf>
    <xf borderId="0" fillId="0" fontId="1" numFmtId="0" xfId="0" applyFont="1"/>
    <xf borderId="0" fillId="0" fontId="1" numFmtId="4" xfId="0" applyAlignment="1" applyFont="1" applyNumberFormat="1">
      <alignment readingOrder="0"/>
    </xf>
    <xf borderId="0" fillId="0" fontId="1" numFmtId="46" xfId="0" applyAlignment="1" applyFont="1" applyNumberFormat="1">
      <alignment readingOrder="0"/>
    </xf>
    <xf borderId="0" fillId="0" fontId="1" numFmtId="165" xfId="0" applyFont="1" applyNumberFormat="1"/>
    <xf borderId="0" fillId="0" fontId="1" numFmtId="1" xfId="0" applyFont="1" applyNumberFormat="1"/>
    <xf borderId="0" fillId="0" fontId="1" numFmtId="10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2" fontId="1" numFmtId="167" xfId="0" applyAlignment="1" applyFont="1" applyNumberFormat="1">
      <alignment readingOrder="0"/>
    </xf>
    <xf borderId="0" fillId="2" fontId="1" numFmtId="165" xfId="0" applyFont="1" applyNumberFormat="1"/>
    <xf borderId="0" fillId="0" fontId="1" numFmtId="167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46" xfId="0" applyFont="1" applyNumberFormat="1"/>
    <xf borderId="0" fillId="0" fontId="3" numFmtId="0" xfId="0" applyAlignment="1" applyFont="1">
      <alignment vertical="bottom"/>
    </xf>
    <xf borderId="0" fillId="0" fontId="3" numFmtId="46" xfId="0" applyAlignment="1" applyFont="1" applyNumberFormat="1">
      <alignment horizontal="right" readingOrder="0" vertical="bottom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</row>
    <row r="3">
      <c r="A3" s="1">
        <v>0.0</v>
      </c>
      <c r="B3" s="1">
        <v>0.0</v>
      </c>
    </row>
    <row r="4">
      <c r="A4" s="1">
        <f t="shared" ref="A4:A23" si="1">A3+5</f>
        <v>5</v>
      </c>
      <c r="B4" s="1">
        <v>1.0</v>
      </c>
    </row>
    <row r="5">
      <c r="A5" s="1">
        <f t="shared" si="1"/>
        <v>10</v>
      </c>
      <c r="B5" s="1">
        <v>2.0</v>
      </c>
    </row>
    <row r="6">
      <c r="A6" s="1">
        <f t="shared" si="1"/>
        <v>15</v>
      </c>
      <c r="B6" s="1">
        <v>4.0</v>
      </c>
    </row>
    <row r="7">
      <c r="A7" s="1">
        <f t="shared" si="1"/>
        <v>20</v>
      </c>
      <c r="B7" s="1">
        <v>6.0</v>
      </c>
    </row>
    <row r="8">
      <c r="A8" s="1">
        <f t="shared" si="1"/>
        <v>25</v>
      </c>
      <c r="B8" s="1">
        <v>13.0</v>
      </c>
    </row>
    <row r="9">
      <c r="A9" s="1">
        <f t="shared" si="1"/>
        <v>30</v>
      </c>
      <c r="B9" s="1">
        <v>16.0</v>
      </c>
    </row>
    <row r="10">
      <c r="A10" s="1">
        <f t="shared" si="1"/>
        <v>35</v>
      </c>
      <c r="B10" s="1">
        <v>20.0</v>
      </c>
    </row>
    <row r="11">
      <c r="A11" s="1">
        <f t="shared" si="1"/>
        <v>40</v>
      </c>
      <c r="B11" s="1">
        <v>25.0</v>
      </c>
    </row>
    <row r="12">
      <c r="A12" s="1">
        <f t="shared" si="1"/>
        <v>45</v>
      </c>
      <c r="B12" s="1">
        <v>31.0</v>
      </c>
    </row>
    <row r="13">
      <c r="A13" s="1">
        <f t="shared" si="1"/>
        <v>50</v>
      </c>
      <c r="B13" s="1">
        <v>37.0</v>
      </c>
    </row>
    <row r="14">
      <c r="A14" s="1">
        <f t="shared" si="1"/>
        <v>55</v>
      </c>
      <c r="B14" s="1">
        <v>43.0</v>
      </c>
    </row>
    <row r="15">
      <c r="A15" s="1">
        <f t="shared" si="1"/>
        <v>60</v>
      </c>
      <c r="B15" s="1">
        <v>48.0</v>
      </c>
    </row>
    <row r="16">
      <c r="A16" s="1">
        <f t="shared" si="1"/>
        <v>65</v>
      </c>
      <c r="B16" s="1">
        <v>55.0</v>
      </c>
    </row>
    <row r="17">
      <c r="A17" s="1">
        <f t="shared" si="1"/>
        <v>70</v>
      </c>
      <c r="B17" s="1">
        <v>62.0</v>
      </c>
    </row>
    <row r="18">
      <c r="A18" s="1">
        <f t="shared" si="1"/>
        <v>75</v>
      </c>
      <c r="B18" s="1">
        <v>68.0</v>
      </c>
    </row>
    <row r="19">
      <c r="A19" s="1">
        <f t="shared" si="1"/>
        <v>80</v>
      </c>
      <c r="B19" s="1">
        <v>74.0</v>
      </c>
    </row>
    <row r="20">
      <c r="A20" s="1">
        <f t="shared" si="1"/>
        <v>85</v>
      </c>
      <c r="B20" s="1">
        <v>72.0</v>
      </c>
    </row>
    <row r="21">
      <c r="A21" s="1">
        <f t="shared" si="1"/>
        <v>90</v>
      </c>
      <c r="B21" s="1">
        <v>82.0</v>
      </c>
    </row>
    <row r="22">
      <c r="A22" s="1">
        <f t="shared" si="1"/>
        <v>95</v>
      </c>
      <c r="B22" s="1">
        <v>88.0</v>
      </c>
    </row>
    <row r="23">
      <c r="A23" s="1">
        <f t="shared" si="1"/>
        <v>100</v>
      </c>
      <c r="B23" s="1">
        <v>94.0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9.63"/>
    <col customWidth="1" min="3" max="3" width="8.25"/>
    <col customWidth="1" min="4" max="4" width="6.38"/>
    <col customWidth="1" hidden="1" min="5" max="5" width="8.0"/>
    <col hidden="1" min="6" max="6" width="12.63"/>
    <col customWidth="1" min="7" max="7" width="9.75"/>
    <col customWidth="1" min="12" max="14" width="17.0"/>
    <col customWidth="1" min="16" max="16" width="16.75"/>
  </cols>
  <sheetData>
    <row r="1" ht="31.5" customHeight="1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/>
      <c r="AG1" s="2"/>
    </row>
    <row r="2">
      <c r="A2" s="3" t="s">
        <v>34</v>
      </c>
      <c r="B2" s="3">
        <v>0.0</v>
      </c>
      <c r="C2" s="3" t="s">
        <v>35</v>
      </c>
      <c r="D2" s="3" t="s">
        <v>35</v>
      </c>
      <c r="E2" s="3" t="s">
        <v>36</v>
      </c>
      <c r="F2" s="4"/>
      <c r="G2" s="3" t="s">
        <v>37</v>
      </c>
      <c r="H2" s="3">
        <v>0.0</v>
      </c>
      <c r="I2" s="5">
        <v>64.0</v>
      </c>
      <c r="J2" s="6">
        <f t="shared" ref="J2:J19" si="1">$A$24/(I2/100)</f>
        <v>0.006401909722</v>
      </c>
      <c r="K2" s="6">
        <f t="shared" ref="K2:K19" si="2">J2*B2</f>
        <v>0</v>
      </c>
      <c r="L2" s="7">
        <v>46179.375</v>
      </c>
      <c r="M2" s="8">
        <f>L6-L2</f>
        <v>0.1562065972</v>
      </c>
      <c r="N2" s="9">
        <f t="shared" ref="N2:N19" si="3">B2*1.6*(140/2.2)</f>
        <v>0</v>
      </c>
      <c r="O2" s="10">
        <f>IFERROR(FORECAST(I2, OFFSET(Utilities!$B$4, MATCH(I2,Utilities!$A$4:$A$23,1)-1, 0, 2), OFFSET(Utilities!$A$4, MATCH(I2,Utilities!$A$4:$A$23,1)-1, 0, 2)), "Out of range")/100</f>
        <v>0.536</v>
      </c>
      <c r="P2" s="9">
        <f t="shared" ref="P2:P19" si="4">O2*N2</f>
        <v>0</v>
      </c>
      <c r="Q2" s="9">
        <f t="shared" ref="Q2:Q20" si="5">P2/4</f>
        <v>0</v>
      </c>
      <c r="R2" s="9">
        <f>sum(Q2:Q6)</f>
        <v>332.9047273</v>
      </c>
      <c r="S2" s="9" t="str">
        <f t="shared" ref="S2:S19" si="6">Q2/(K2/$B$24)</f>
        <v>#DIV/0!</v>
      </c>
      <c r="T2" s="9" t="str">
        <f t="shared" ref="T2:T19" si="7">S2*23/21</f>
        <v>#DIV/0!</v>
      </c>
      <c r="U2" s="3">
        <f>95</f>
        <v>95</v>
      </c>
      <c r="V2" s="11">
        <f>ceiling(R2/U2,1)</f>
        <v>4</v>
      </c>
      <c r="W2" s="3">
        <v>1.0</v>
      </c>
      <c r="X2" s="4">
        <f>K2/hour*W2</f>
        <v>0</v>
      </c>
      <c r="Y2" s="3">
        <f t="shared" ref="Y2:Y19" si="8">AB2*9/5+32</f>
        <v>64.04</v>
      </c>
      <c r="Z2" s="3">
        <v>91.0</v>
      </c>
      <c r="AA2" s="3">
        <v>80.0</v>
      </c>
      <c r="AB2" s="3">
        <v>17.8</v>
      </c>
      <c r="AC2" s="12">
        <v>16.3</v>
      </c>
      <c r="AD2" s="12">
        <v>16.7</v>
      </c>
      <c r="AE2" s="13">
        <f t="shared" ref="AE2:AE19" si="9">(414 + (11.45 * AD2) + (2.6 * I2))/1000</f>
        <v>0.771615</v>
      </c>
      <c r="AF2" s="12"/>
      <c r="AG2" s="12"/>
    </row>
    <row r="3">
      <c r="A3" s="1" t="s">
        <v>38</v>
      </c>
      <c r="B3" s="1">
        <v>6.7</v>
      </c>
      <c r="C3" s="1" t="s">
        <v>36</v>
      </c>
      <c r="D3" s="1" t="s">
        <v>36</v>
      </c>
      <c r="E3" s="1" t="s">
        <v>36</v>
      </c>
      <c r="G3" s="1" t="s">
        <v>39</v>
      </c>
      <c r="H3" s="14">
        <f t="shared" ref="H3:H19" si="10">H2+B3</f>
        <v>6.7</v>
      </c>
      <c r="I3" s="15">
        <f t="shared" ref="I3:I10" si="11">I2</f>
        <v>64</v>
      </c>
      <c r="J3" s="6">
        <f t="shared" si="1"/>
        <v>0.006401909722</v>
      </c>
      <c r="K3" s="16">
        <f t="shared" si="2"/>
        <v>0.04289279514</v>
      </c>
      <c r="L3" s="17">
        <f t="shared" ref="L3:L20" si="12">L2+K3</f>
        <v>46179.41789</v>
      </c>
      <c r="M3" s="18"/>
      <c r="N3" s="18">
        <f t="shared" si="3"/>
        <v>682.1818182</v>
      </c>
      <c r="O3" s="19">
        <f>IFERROR(FORECAST(I3, OFFSET(Utilities!$B$4, MATCH(I3,Utilities!$A$4:$A$23,1)-1, 0, 2), OFFSET(Utilities!$A$4, MATCH(I3,Utilities!$A$4:$A$23,1)-1, 0, 2)), "Out of range")/100</f>
        <v>0.536</v>
      </c>
      <c r="P3" s="18">
        <f t="shared" si="4"/>
        <v>365.6494545</v>
      </c>
      <c r="Q3" s="18">
        <f t="shared" si="5"/>
        <v>91.41236364</v>
      </c>
      <c r="R3" s="18"/>
      <c r="S3" s="18">
        <f t="shared" si="6"/>
        <v>88.7992604</v>
      </c>
      <c r="T3" s="18">
        <f t="shared" si="7"/>
        <v>97.25633282</v>
      </c>
      <c r="U3" s="1">
        <f t="shared" ref="U3:U19" si="13">U2</f>
        <v>95</v>
      </c>
      <c r="V3" s="20"/>
      <c r="W3" s="1">
        <f t="shared" ref="W3:W19" si="14">W2</f>
        <v>1</v>
      </c>
      <c r="X3" s="14">
        <f>K3/hour*W3</f>
        <v>1.029427083</v>
      </c>
      <c r="Y3" s="1">
        <f t="shared" si="8"/>
        <v>62.6</v>
      </c>
      <c r="Z3" s="1">
        <v>94.0</v>
      </c>
      <c r="AA3" s="1">
        <v>53.0</v>
      </c>
      <c r="AB3" s="1">
        <v>17.0</v>
      </c>
      <c r="AC3" s="21">
        <v>16.1</v>
      </c>
      <c r="AD3" s="21">
        <v>16.3</v>
      </c>
      <c r="AE3" s="22">
        <f t="shared" si="9"/>
        <v>0.767035</v>
      </c>
      <c r="AF3" s="21"/>
      <c r="AG3" s="21"/>
    </row>
    <row r="4">
      <c r="A4" s="1" t="s">
        <v>40</v>
      </c>
      <c r="B4" s="1">
        <v>3.9</v>
      </c>
      <c r="C4" s="1" t="s">
        <v>36</v>
      </c>
      <c r="D4" s="1" t="s">
        <v>36</v>
      </c>
      <c r="E4" s="1" t="s">
        <v>36</v>
      </c>
      <c r="G4" s="1" t="s">
        <v>37</v>
      </c>
      <c r="H4" s="14">
        <f t="shared" si="10"/>
        <v>10.6</v>
      </c>
      <c r="I4" s="15">
        <f t="shared" si="11"/>
        <v>64</v>
      </c>
      <c r="J4" s="6">
        <f t="shared" si="1"/>
        <v>0.006401909722</v>
      </c>
      <c r="K4" s="16">
        <f t="shared" si="2"/>
        <v>0.02496744792</v>
      </c>
      <c r="L4" s="17">
        <f t="shared" si="12"/>
        <v>46179.44286</v>
      </c>
      <c r="M4" s="18"/>
      <c r="N4" s="18">
        <f t="shared" si="3"/>
        <v>397.0909091</v>
      </c>
      <c r="O4" s="19">
        <f>IFERROR(FORECAST(I4, OFFSET(Utilities!$B$4, MATCH(I4,Utilities!$A$4:$A$23,1)-1, 0, 2), OFFSET(Utilities!$A$4, MATCH(I4,Utilities!$A$4:$A$23,1)-1, 0, 2)), "Out of range")/100</f>
        <v>0.536</v>
      </c>
      <c r="P4" s="18">
        <f t="shared" si="4"/>
        <v>212.8407273</v>
      </c>
      <c r="Q4" s="18">
        <f t="shared" si="5"/>
        <v>53.21018182</v>
      </c>
      <c r="R4" s="18"/>
      <c r="S4" s="18">
        <f t="shared" si="6"/>
        <v>88.7992604</v>
      </c>
      <c r="T4" s="18">
        <f t="shared" si="7"/>
        <v>97.25633282</v>
      </c>
      <c r="U4" s="1">
        <f t="shared" si="13"/>
        <v>95</v>
      </c>
      <c r="V4" s="20"/>
      <c r="W4" s="1">
        <f t="shared" si="14"/>
        <v>1</v>
      </c>
      <c r="X4" s="14">
        <f>K4/hour*W4</f>
        <v>0.59921875</v>
      </c>
      <c r="Y4" s="1">
        <f t="shared" si="8"/>
        <v>62.78</v>
      </c>
      <c r="Z4" s="1">
        <v>94.0</v>
      </c>
      <c r="AA4" s="1">
        <v>39.0</v>
      </c>
      <c r="AB4" s="1">
        <v>17.1</v>
      </c>
      <c r="AC4" s="21">
        <v>16.2</v>
      </c>
      <c r="AD4" s="21">
        <v>16.4</v>
      </c>
      <c r="AE4" s="22">
        <f t="shared" si="9"/>
        <v>0.76818</v>
      </c>
      <c r="AF4" s="21"/>
      <c r="AG4" s="21"/>
    </row>
    <row r="5">
      <c r="A5" s="1" t="s">
        <v>41</v>
      </c>
      <c r="B5" s="1">
        <v>8.0</v>
      </c>
      <c r="C5" s="1" t="s">
        <v>36</v>
      </c>
      <c r="D5" s="1" t="s">
        <v>36</v>
      </c>
      <c r="E5" s="1" t="s">
        <v>36</v>
      </c>
      <c r="G5" s="1" t="s">
        <v>37</v>
      </c>
      <c r="H5" s="14">
        <f t="shared" si="10"/>
        <v>18.6</v>
      </c>
      <c r="I5" s="15">
        <f t="shared" si="11"/>
        <v>64</v>
      </c>
      <c r="J5" s="6">
        <f t="shared" si="1"/>
        <v>0.006401909722</v>
      </c>
      <c r="K5" s="16">
        <f t="shared" si="2"/>
        <v>0.05121527778</v>
      </c>
      <c r="L5" s="17">
        <f t="shared" si="12"/>
        <v>46179.49408</v>
      </c>
      <c r="M5" s="18"/>
      <c r="N5" s="18">
        <f t="shared" si="3"/>
        <v>814.5454545</v>
      </c>
      <c r="O5" s="19">
        <f>IFERROR(FORECAST(I5, OFFSET(Utilities!$B$4, MATCH(I5,Utilities!$A$4:$A$23,1)-1, 0, 2), OFFSET(Utilities!$A$4, MATCH(I5,Utilities!$A$4:$A$23,1)-1, 0, 2)), "Out of range")/100</f>
        <v>0.536</v>
      </c>
      <c r="P5" s="18">
        <f t="shared" si="4"/>
        <v>436.5963636</v>
      </c>
      <c r="Q5" s="18">
        <f t="shared" si="5"/>
        <v>109.1490909</v>
      </c>
      <c r="R5" s="18"/>
      <c r="S5" s="18">
        <f t="shared" si="6"/>
        <v>88.7992604</v>
      </c>
      <c r="T5" s="18">
        <f t="shared" si="7"/>
        <v>97.25633282</v>
      </c>
      <c r="U5" s="1">
        <f t="shared" si="13"/>
        <v>95</v>
      </c>
      <c r="V5" s="20"/>
      <c r="W5" s="1">
        <f t="shared" si="14"/>
        <v>1</v>
      </c>
      <c r="X5" s="14">
        <f>K5/hour*W5</f>
        <v>1.229166667</v>
      </c>
      <c r="Y5" s="1">
        <f t="shared" si="8"/>
        <v>66.2</v>
      </c>
      <c r="Z5" s="1">
        <v>88.0</v>
      </c>
      <c r="AA5" s="1">
        <v>53.0</v>
      </c>
      <c r="AB5" s="1">
        <v>19.0</v>
      </c>
      <c r="AC5" s="21">
        <v>17.0</v>
      </c>
      <c r="AD5" s="21">
        <v>17.6</v>
      </c>
      <c r="AE5" s="22">
        <f t="shared" si="9"/>
        <v>0.78192</v>
      </c>
      <c r="AF5" s="21"/>
      <c r="AG5" s="21"/>
    </row>
    <row r="6">
      <c r="A6" s="3" t="s">
        <v>42</v>
      </c>
      <c r="B6" s="3">
        <v>5.8</v>
      </c>
      <c r="C6" s="3" t="s">
        <v>35</v>
      </c>
      <c r="D6" s="23" t="s">
        <v>35</v>
      </c>
      <c r="E6" s="3" t="s">
        <v>36</v>
      </c>
      <c r="F6" s="24">
        <v>0.71875</v>
      </c>
      <c r="G6" s="3" t="s">
        <v>37</v>
      </c>
      <c r="H6" s="4">
        <f t="shared" si="10"/>
        <v>24.4</v>
      </c>
      <c r="I6" s="15">
        <f t="shared" si="11"/>
        <v>64</v>
      </c>
      <c r="J6" s="6">
        <f t="shared" si="1"/>
        <v>0.006401909722</v>
      </c>
      <c r="K6" s="6">
        <f t="shared" si="2"/>
        <v>0.03713107639</v>
      </c>
      <c r="L6" s="25">
        <f t="shared" si="12"/>
        <v>46179.53121</v>
      </c>
      <c r="M6" s="8">
        <f>L8-L6</f>
        <v>0.07042100695</v>
      </c>
      <c r="N6" s="9">
        <f t="shared" si="3"/>
        <v>590.5454545</v>
      </c>
      <c r="O6" s="10">
        <f>IFERROR(FORECAST(I6, OFFSET(Utilities!$B$4, MATCH(I6,Utilities!$A$4:$A$23,1)-1, 0, 2), OFFSET(Utilities!$A$4, MATCH(I6,Utilities!$A$4:$A$23,1)-1, 0, 2)), "Out of range")/100</f>
        <v>0.536</v>
      </c>
      <c r="P6" s="9">
        <f t="shared" si="4"/>
        <v>316.5323636</v>
      </c>
      <c r="Q6" s="9">
        <f t="shared" si="5"/>
        <v>79.13309091</v>
      </c>
      <c r="R6" s="9">
        <f>sum(Q7:Q8)</f>
        <v>150.08</v>
      </c>
      <c r="S6" s="9">
        <f t="shared" si="6"/>
        <v>88.7992604</v>
      </c>
      <c r="T6" s="9">
        <f t="shared" si="7"/>
        <v>97.25633282</v>
      </c>
      <c r="U6" s="3">
        <f t="shared" si="13"/>
        <v>95</v>
      </c>
      <c r="V6" s="11">
        <f>ceiling(R6/U6,1)</f>
        <v>2</v>
      </c>
      <c r="W6" s="3">
        <f t="shared" si="14"/>
        <v>1</v>
      </c>
      <c r="X6" s="4">
        <f>K6/hour*W6</f>
        <v>0.8911458333</v>
      </c>
      <c r="Y6" s="3">
        <f t="shared" si="8"/>
        <v>71.24</v>
      </c>
      <c r="Z6" s="3">
        <v>79.0</v>
      </c>
      <c r="AA6" s="3">
        <v>80.0</v>
      </c>
      <c r="AB6" s="3">
        <v>21.8</v>
      </c>
      <c r="AC6" s="12">
        <v>18.0</v>
      </c>
      <c r="AD6" s="12">
        <v>19.1</v>
      </c>
      <c r="AE6" s="13">
        <f t="shared" si="9"/>
        <v>0.799095</v>
      </c>
      <c r="AF6" s="12"/>
      <c r="AG6" s="12"/>
    </row>
    <row r="7">
      <c r="A7" s="1" t="s">
        <v>43</v>
      </c>
      <c r="B7" s="1">
        <v>6.7</v>
      </c>
      <c r="C7" s="1" t="s">
        <v>36</v>
      </c>
      <c r="D7" s="1" t="s">
        <v>36</v>
      </c>
      <c r="E7" s="1" t="s">
        <v>36</v>
      </c>
      <c r="G7" s="1" t="s">
        <v>39</v>
      </c>
      <c r="H7" s="14">
        <f t="shared" si="10"/>
        <v>31.1</v>
      </c>
      <c r="I7" s="15">
        <f t="shared" si="11"/>
        <v>64</v>
      </c>
      <c r="J7" s="6">
        <f t="shared" si="1"/>
        <v>0.006401909722</v>
      </c>
      <c r="K7" s="16">
        <f t="shared" si="2"/>
        <v>0.04289279514</v>
      </c>
      <c r="L7" s="17">
        <f t="shared" si="12"/>
        <v>46179.5741</v>
      </c>
      <c r="M7" s="18"/>
      <c r="N7" s="18">
        <f t="shared" si="3"/>
        <v>682.1818182</v>
      </c>
      <c r="O7" s="19">
        <f>IFERROR(FORECAST(I7, OFFSET(Utilities!$B$4, MATCH(I7,Utilities!$A$4:$A$23,1)-1, 0, 2), OFFSET(Utilities!$A$4, MATCH(I7,Utilities!$A$4:$A$23,1)-1, 0, 2)), "Out of range")/100</f>
        <v>0.536</v>
      </c>
      <c r="P7" s="18">
        <f t="shared" si="4"/>
        <v>365.6494545</v>
      </c>
      <c r="Q7" s="18">
        <f t="shared" si="5"/>
        <v>91.41236364</v>
      </c>
      <c r="R7" s="18"/>
      <c r="S7" s="18">
        <f t="shared" si="6"/>
        <v>88.7992604</v>
      </c>
      <c r="T7" s="18">
        <f t="shared" si="7"/>
        <v>97.25633282</v>
      </c>
      <c r="U7" s="1">
        <f t="shared" si="13"/>
        <v>95</v>
      </c>
      <c r="V7" s="20"/>
      <c r="W7" s="1">
        <f t="shared" si="14"/>
        <v>1</v>
      </c>
      <c r="X7" s="14">
        <f>K7/hour*W7</f>
        <v>1.029427083</v>
      </c>
      <c r="Y7" s="1">
        <f t="shared" si="8"/>
        <v>74.66</v>
      </c>
      <c r="Z7" s="1">
        <v>74.0</v>
      </c>
      <c r="AA7" s="1">
        <v>100.0</v>
      </c>
      <c r="AB7" s="1">
        <v>23.7</v>
      </c>
      <c r="AC7" s="21">
        <v>18.8</v>
      </c>
      <c r="AD7" s="21">
        <v>20.3</v>
      </c>
      <c r="AE7" s="22">
        <f t="shared" si="9"/>
        <v>0.812835</v>
      </c>
      <c r="AF7" s="21"/>
      <c r="AG7" s="21"/>
    </row>
    <row r="8">
      <c r="A8" s="3" t="s">
        <v>44</v>
      </c>
      <c r="B8" s="3">
        <v>4.3</v>
      </c>
      <c r="C8" s="3" t="s">
        <v>36</v>
      </c>
      <c r="D8" s="23" t="s">
        <v>35</v>
      </c>
      <c r="E8" s="3" t="s">
        <v>36</v>
      </c>
      <c r="F8" s="24">
        <v>0.8645833333333334</v>
      </c>
      <c r="G8" s="3" t="s">
        <v>37</v>
      </c>
      <c r="H8" s="4">
        <f t="shared" si="10"/>
        <v>35.4</v>
      </c>
      <c r="I8" s="15">
        <f t="shared" si="11"/>
        <v>64</v>
      </c>
      <c r="J8" s="6">
        <f t="shared" si="1"/>
        <v>0.006401909722</v>
      </c>
      <c r="K8" s="6">
        <f t="shared" si="2"/>
        <v>0.02752821181</v>
      </c>
      <c r="L8" s="25">
        <f t="shared" si="12"/>
        <v>46179.60163</v>
      </c>
      <c r="M8" s="8">
        <f>L10-L8</f>
        <v>0.07490234375</v>
      </c>
      <c r="N8" s="9">
        <f t="shared" si="3"/>
        <v>437.8181818</v>
      </c>
      <c r="O8" s="10">
        <f>IFERROR(FORECAST(I8, OFFSET(Utilities!$B$4, MATCH(I8,Utilities!$A$4:$A$23,1)-1, 0, 2), OFFSET(Utilities!$A$4, MATCH(I8,Utilities!$A$4:$A$23,1)-1, 0, 2)), "Out of range")/100</f>
        <v>0.536</v>
      </c>
      <c r="P8" s="9">
        <f t="shared" si="4"/>
        <v>234.6705455</v>
      </c>
      <c r="Q8" s="9">
        <f t="shared" si="5"/>
        <v>58.66763636</v>
      </c>
      <c r="R8" s="9">
        <f>sum(Q9:Q10)</f>
        <v>159.6305455</v>
      </c>
      <c r="S8" s="9">
        <f t="shared" si="6"/>
        <v>88.7992604</v>
      </c>
      <c r="T8" s="9">
        <f t="shared" si="7"/>
        <v>97.25633282</v>
      </c>
      <c r="U8" s="3">
        <f t="shared" si="13"/>
        <v>95</v>
      </c>
      <c r="V8" s="11">
        <f>ceiling(R8/U8,1)</f>
        <v>2</v>
      </c>
      <c r="W8" s="3">
        <f t="shared" si="14"/>
        <v>1</v>
      </c>
      <c r="X8" s="4">
        <f>K8/hour*W8</f>
        <v>0.6606770833</v>
      </c>
      <c r="Y8" s="3">
        <f t="shared" si="8"/>
        <v>74.66</v>
      </c>
      <c r="Z8" s="3">
        <v>74.0</v>
      </c>
      <c r="AA8" s="3">
        <v>100.0</v>
      </c>
      <c r="AB8" s="3">
        <v>23.7</v>
      </c>
      <c r="AC8" s="12">
        <v>18.8</v>
      </c>
      <c r="AD8" s="12">
        <v>20.3</v>
      </c>
      <c r="AE8" s="13">
        <f t="shared" si="9"/>
        <v>0.812835</v>
      </c>
      <c r="AF8" s="12"/>
      <c r="AG8" s="12"/>
    </row>
    <row r="9">
      <c r="A9" s="1" t="s">
        <v>45</v>
      </c>
      <c r="B9" s="1">
        <v>5.3</v>
      </c>
      <c r="C9" s="1" t="s">
        <v>36</v>
      </c>
      <c r="D9" s="1" t="s">
        <v>36</v>
      </c>
      <c r="E9" s="1" t="s">
        <v>36</v>
      </c>
      <c r="G9" s="1" t="s">
        <v>37</v>
      </c>
      <c r="H9" s="14">
        <f t="shared" si="10"/>
        <v>40.7</v>
      </c>
      <c r="I9" s="15">
        <f t="shared" si="11"/>
        <v>64</v>
      </c>
      <c r="J9" s="6">
        <f t="shared" si="1"/>
        <v>0.006401909722</v>
      </c>
      <c r="K9" s="16">
        <f t="shared" si="2"/>
        <v>0.03393012153</v>
      </c>
      <c r="L9" s="17">
        <f t="shared" si="12"/>
        <v>46179.63556</v>
      </c>
      <c r="M9" s="18"/>
      <c r="N9" s="18">
        <f t="shared" si="3"/>
        <v>539.6363636</v>
      </c>
      <c r="O9" s="19">
        <f>IFERROR(FORECAST(I9, OFFSET(Utilities!$B$4, MATCH(I9,Utilities!$A$4:$A$23,1)-1, 0, 2), OFFSET(Utilities!$A$4, MATCH(I9,Utilities!$A$4:$A$23,1)-1, 0, 2)), "Out of range")/100</f>
        <v>0.536</v>
      </c>
      <c r="P9" s="18">
        <f t="shared" si="4"/>
        <v>289.2450909</v>
      </c>
      <c r="Q9" s="18">
        <f t="shared" si="5"/>
        <v>72.31127273</v>
      </c>
      <c r="R9" s="18"/>
      <c r="S9" s="18">
        <f t="shared" si="6"/>
        <v>88.7992604</v>
      </c>
      <c r="T9" s="18">
        <f t="shared" si="7"/>
        <v>97.25633282</v>
      </c>
      <c r="U9" s="1">
        <f t="shared" si="13"/>
        <v>95</v>
      </c>
      <c r="V9" s="20"/>
      <c r="W9" s="1">
        <f t="shared" si="14"/>
        <v>1</v>
      </c>
      <c r="X9" s="14">
        <f>K9/hour*W9</f>
        <v>0.8143229167</v>
      </c>
      <c r="Y9" s="1">
        <f t="shared" si="8"/>
        <v>75.2</v>
      </c>
      <c r="Z9" s="1">
        <v>76.0</v>
      </c>
      <c r="AA9" s="1">
        <v>100.0</v>
      </c>
      <c r="AB9" s="1">
        <v>24.0</v>
      </c>
      <c r="AC9" s="21">
        <v>19.5</v>
      </c>
      <c r="AD9" s="21">
        <v>20.8</v>
      </c>
      <c r="AE9" s="22">
        <f t="shared" si="9"/>
        <v>0.81856</v>
      </c>
      <c r="AF9" s="21"/>
      <c r="AG9" s="21"/>
    </row>
    <row r="10">
      <c r="A10" s="3" t="s">
        <v>46</v>
      </c>
      <c r="B10" s="3">
        <v>6.4</v>
      </c>
      <c r="C10" s="3" t="s">
        <v>35</v>
      </c>
      <c r="D10" s="23" t="s">
        <v>35</v>
      </c>
      <c r="E10" s="3" t="s">
        <v>35</v>
      </c>
      <c r="F10" s="24">
        <v>0.010416666666666666</v>
      </c>
      <c r="G10" s="3" t="s">
        <v>37</v>
      </c>
      <c r="H10" s="4">
        <f t="shared" si="10"/>
        <v>47.1</v>
      </c>
      <c r="I10" s="15">
        <f t="shared" si="11"/>
        <v>64</v>
      </c>
      <c r="J10" s="6">
        <f t="shared" si="1"/>
        <v>0.006401909722</v>
      </c>
      <c r="K10" s="6">
        <f t="shared" si="2"/>
        <v>0.04097222222</v>
      </c>
      <c r="L10" s="25">
        <f t="shared" si="12"/>
        <v>46179.67653</v>
      </c>
      <c r="M10" s="8">
        <f>L13-L10</f>
        <v>0.1072106482</v>
      </c>
      <c r="N10" s="9">
        <f t="shared" si="3"/>
        <v>651.6363636</v>
      </c>
      <c r="O10" s="10">
        <f>IFERROR(FORECAST(I10, OFFSET(Utilities!$B$4, MATCH(I10,Utilities!$A$4:$A$23,1)-1, 0, 2), OFFSET(Utilities!$A$4, MATCH(I10,Utilities!$A$4:$A$23,1)-1, 0, 2)), "Out of range")/100</f>
        <v>0.536</v>
      </c>
      <c r="P10" s="9">
        <f t="shared" si="4"/>
        <v>349.2770909</v>
      </c>
      <c r="Q10" s="9">
        <f t="shared" si="5"/>
        <v>87.31927273</v>
      </c>
      <c r="R10" s="9">
        <f>sum(Q11:Q13)</f>
        <v>191.8254545</v>
      </c>
      <c r="S10" s="9">
        <f t="shared" si="6"/>
        <v>88.7992604</v>
      </c>
      <c r="T10" s="9">
        <f t="shared" si="7"/>
        <v>97.25633282</v>
      </c>
      <c r="U10" s="3">
        <f t="shared" si="13"/>
        <v>95</v>
      </c>
      <c r="V10" s="11">
        <f>ceiling(R10/U10,1)</f>
        <v>3</v>
      </c>
      <c r="W10" s="3">
        <f t="shared" si="14"/>
        <v>1</v>
      </c>
      <c r="X10" s="4">
        <f>K10/hour*W10</f>
        <v>0.9833333333</v>
      </c>
      <c r="Y10" s="3">
        <f t="shared" si="8"/>
        <v>74.12</v>
      </c>
      <c r="Z10" s="3">
        <v>82.0</v>
      </c>
      <c r="AA10" s="3">
        <v>98.0</v>
      </c>
      <c r="AB10" s="3">
        <v>23.4</v>
      </c>
      <c r="AC10" s="12">
        <v>20.2</v>
      </c>
      <c r="AD10" s="12">
        <v>21.1</v>
      </c>
      <c r="AE10" s="13">
        <f t="shared" si="9"/>
        <v>0.821995</v>
      </c>
      <c r="AF10" s="12"/>
      <c r="AG10" s="12"/>
    </row>
    <row r="11">
      <c r="A11" s="1" t="s">
        <v>47</v>
      </c>
      <c r="B11" s="1">
        <v>7.9</v>
      </c>
      <c r="C11" s="1" t="s">
        <v>36</v>
      </c>
      <c r="D11" s="1" t="s">
        <v>36</v>
      </c>
      <c r="E11" s="1" t="s">
        <v>36</v>
      </c>
      <c r="F11" s="26">
        <v>0.125</v>
      </c>
      <c r="G11" s="1" t="s">
        <v>37</v>
      </c>
      <c r="H11" s="14">
        <f t="shared" si="10"/>
        <v>55</v>
      </c>
      <c r="I11" s="15">
        <v>60.0</v>
      </c>
      <c r="J11" s="6">
        <f t="shared" si="1"/>
        <v>0.006828703704</v>
      </c>
      <c r="K11" s="16">
        <f t="shared" si="2"/>
        <v>0.05394675926</v>
      </c>
      <c r="L11" s="17">
        <f t="shared" si="12"/>
        <v>46179.73048</v>
      </c>
      <c r="M11" s="18"/>
      <c r="N11" s="18">
        <f t="shared" si="3"/>
        <v>804.3636364</v>
      </c>
      <c r="O11" s="19">
        <f>IFERROR(FORECAST(I11, OFFSET(Utilities!$B$4, MATCH(I11,Utilities!$A$4:$A$23,1)-1, 0, 2), OFFSET(Utilities!$A$4, MATCH(I11,Utilities!$A$4:$A$23,1)-1, 0, 2)), "Out of range")/100</f>
        <v>0.48</v>
      </c>
      <c r="P11" s="18">
        <f t="shared" si="4"/>
        <v>386.0945455</v>
      </c>
      <c r="Q11" s="18">
        <f t="shared" si="5"/>
        <v>96.52363636</v>
      </c>
      <c r="R11" s="18"/>
      <c r="S11" s="18">
        <f t="shared" si="6"/>
        <v>74.55161787</v>
      </c>
      <c r="T11" s="18">
        <f t="shared" si="7"/>
        <v>81.65177196</v>
      </c>
      <c r="U11" s="1">
        <f t="shared" si="13"/>
        <v>95</v>
      </c>
      <c r="V11" s="20"/>
      <c r="W11" s="1">
        <f t="shared" si="14"/>
        <v>1</v>
      </c>
      <c r="X11" s="14">
        <f>K11/hour*W11</f>
        <v>1.294722222</v>
      </c>
      <c r="Y11" s="1">
        <f t="shared" si="8"/>
        <v>73.04</v>
      </c>
      <c r="Z11" s="1">
        <v>87.0</v>
      </c>
      <c r="AA11" s="1">
        <v>90.0</v>
      </c>
      <c r="AB11" s="1">
        <v>22.8</v>
      </c>
      <c r="AC11" s="21">
        <v>20.5</v>
      </c>
      <c r="AD11" s="21">
        <v>21.2</v>
      </c>
      <c r="AE11" s="22">
        <f t="shared" si="9"/>
        <v>0.81274</v>
      </c>
      <c r="AF11" s="21"/>
      <c r="AG11" s="21"/>
    </row>
    <row r="12">
      <c r="A12" s="1" t="s">
        <v>48</v>
      </c>
      <c r="B12" s="1">
        <v>4.6</v>
      </c>
      <c r="C12" s="1" t="s">
        <v>36</v>
      </c>
      <c r="D12" s="1" t="s">
        <v>36</v>
      </c>
      <c r="E12" s="1" t="s">
        <v>36</v>
      </c>
      <c r="G12" s="1" t="s">
        <v>39</v>
      </c>
      <c r="H12" s="14">
        <f t="shared" si="10"/>
        <v>59.6</v>
      </c>
      <c r="I12" s="15">
        <f t="shared" ref="I12:I19" si="15">I11</f>
        <v>60</v>
      </c>
      <c r="J12" s="6">
        <f t="shared" si="1"/>
        <v>0.006828703704</v>
      </c>
      <c r="K12" s="16">
        <f t="shared" si="2"/>
        <v>0.03141203704</v>
      </c>
      <c r="L12" s="17">
        <f t="shared" si="12"/>
        <v>46179.76189</v>
      </c>
      <c r="M12" s="18"/>
      <c r="N12" s="18">
        <f t="shared" si="3"/>
        <v>468.3636364</v>
      </c>
      <c r="O12" s="19">
        <f>IFERROR(FORECAST(I12, OFFSET(Utilities!$B$4, MATCH(I12,Utilities!$A$4:$A$23,1)-1, 0, 2), OFFSET(Utilities!$A$4, MATCH(I12,Utilities!$A$4:$A$23,1)-1, 0, 2)), "Out of range")/100</f>
        <v>0.48</v>
      </c>
      <c r="P12" s="18">
        <f t="shared" si="4"/>
        <v>224.8145455</v>
      </c>
      <c r="Q12" s="18">
        <f t="shared" si="5"/>
        <v>56.20363636</v>
      </c>
      <c r="R12" s="18"/>
      <c r="S12" s="18">
        <f t="shared" si="6"/>
        <v>74.55161787</v>
      </c>
      <c r="T12" s="18">
        <f t="shared" si="7"/>
        <v>81.65177196</v>
      </c>
      <c r="U12" s="1">
        <f t="shared" si="13"/>
        <v>95</v>
      </c>
      <c r="V12" s="20"/>
      <c r="W12" s="1">
        <f t="shared" si="14"/>
        <v>1</v>
      </c>
      <c r="X12" s="14">
        <f>K12/hour*W12</f>
        <v>0.7538888889</v>
      </c>
      <c r="Y12" s="1">
        <f t="shared" si="8"/>
        <v>72.5</v>
      </c>
      <c r="Z12" s="1">
        <v>88.0</v>
      </c>
      <c r="AA12" s="1">
        <v>78.0</v>
      </c>
      <c r="AB12" s="1">
        <v>22.5</v>
      </c>
      <c r="AC12" s="21">
        <v>20.4</v>
      </c>
      <c r="AD12" s="21">
        <v>21.0</v>
      </c>
      <c r="AE12" s="22">
        <f t="shared" si="9"/>
        <v>0.81045</v>
      </c>
      <c r="AF12" s="21"/>
      <c r="AG12" s="21"/>
    </row>
    <row r="13">
      <c r="A13" s="3" t="s">
        <v>49</v>
      </c>
      <c r="B13" s="3">
        <v>3.2</v>
      </c>
      <c r="C13" s="3" t="s">
        <v>36</v>
      </c>
      <c r="D13" s="23" t="s">
        <v>35</v>
      </c>
      <c r="E13" s="3" t="s">
        <v>35</v>
      </c>
      <c r="F13" s="24">
        <v>0.25</v>
      </c>
      <c r="G13" s="3" t="s">
        <v>37</v>
      </c>
      <c r="H13" s="4">
        <f t="shared" si="10"/>
        <v>62.8</v>
      </c>
      <c r="I13" s="15">
        <f t="shared" si="15"/>
        <v>60</v>
      </c>
      <c r="J13" s="6">
        <f t="shared" si="1"/>
        <v>0.006828703704</v>
      </c>
      <c r="K13" s="6">
        <f t="shared" si="2"/>
        <v>0.02185185185</v>
      </c>
      <c r="L13" s="25">
        <f t="shared" si="12"/>
        <v>46179.78374</v>
      </c>
      <c r="M13" s="8">
        <f>L16-L13</f>
        <v>0.1140393519</v>
      </c>
      <c r="N13" s="9">
        <f t="shared" si="3"/>
        <v>325.8181818</v>
      </c>
      <c r="O13" s="10">
        <f>IFERROR(FORECAST(I13, OFFSET(Utilities!$B$4, MATCH(I13,Utilities!$A$4:$A$23,1)-1, 0, 2), OFFSET(Utilities!$A$4, MATCH(I13,Utilities!$A$4:$A$23,1)-1, 0, 2)), "Out of range")/100</f>
        <v>0.48</v>
      </c>
      <c r="P13" s="9">
        <f t="shared" si="4"/>
        <v>156.3927273</v>
      </c>
      <c r="Q13" s="9">
        <f t="shared" si="5"/>
        <v>39.09818182</v>
      </c>
      <c r="R13" s="9">
        <f>sum(Q14:Q16)</f>
        <v>204.0436364</v>
      </c>
      <c r="S13" s="9">
        <f t="shared" si="6"/>
        <v>74.55161787</v>
      </c>
      <c r="T13" s="9">
        <f t="shared" si="7"/>
        <v>81.65177196</v>
      </c>
      <c r="U13" s="3">
        <f t="shared" si="13"/>
        <v>95</v>
      </c>
      <c r="V13" s="11">
        <f>ceiling(R13/U13,1)</f>
        <v>3</v>
      </c>
      <c r="W13" s="3">
        <f t="shared" si="14"/>
        <v>1</v>
      </c>
      <c r="X13" s="4">
        <f>K13/hour*W13</f>
        <v>0.5244444444</v>
      </c>
      <c r="Y13" s="3">
        <f t="shared" si="8"/>
        <v>72.5</v>
      </c>
      <c r="Z13" s="3">
        <v>88.0</v>
      </c>
      <c r="AA13" s="3">
        <v>78.0</v>
      </c>
      <c r="AB13" s="3">
        <v>22.5</v>
      </c>
      <c r="AC13" s="12">
        <v>20.4</v>
      </c>
      <c r="AD13" s="12">
        <v>21.0</v>
      </c>
      <c r="AE13" s="13">
        <f t="shared" si="9"/>
        <v>0.81045</v>
      </c>
      <c r="AF13" s="12"/>
      <c r="AG13" s="12"/>
    </row>
    <row r="14">
      <c r="A14" s="1" t="s">
        <v>50</v>
      </c>
      <c r="B14" s="1">
        <v>6.7</v>
      </c>
      <c r="C14" s="1" t="s">
        <v>35</v>
      </c>
      <c r="D14" s="27" t="s">
        <v>35</v>
      </c>
      <c r="E14" s="1" t="s">
        <v>35</v>
      </c>
      <c r="F14" s="26">
        <v>0.3333333333333333</v>
      </c>
      <c r="G14" s="1" t="s">
        <v>37</v>
      </c>
      <c r="H14" s="14">
        <f t="shared" si="10"/>
        <v>69.5</v>
      </c>
      <c r="I14" s="15">
        <f t="shared" si="15"/>
        <v>60</v>
      </c>
      <c r="J14" s="6">
        <f t="shared" si="1"/>
        <v>0.006828703704</v>
      </c>
      <c r="K14" s="16">
        <f t="shared" si="2"/>
        <v>0.04575231481</v>
      </c>
      <c r="L14" s="17">
        <f t="shared" si="12"/>
        <v>46179.82949</v>
      </c>
      <c r="M14" s="28"/>
      <c r="N14" s="18">
        <f t="shared" si="3"/>
        <v>682.1818182</v>
      </c>
      <c r="O14" s="19">
        <f>IFERROR(FORECAST(I14, OFFSET(Utilities!$B$4, MATCH(I14,Utilities!$A$4:$A$23,1)-1, 0, 2), OFFSET(Utilities!$A$4, MATCH(I14,Utilities!$A$4:$A$23,1)-1, 0, 2)), "Out of range")/100</f>
        <v>0.48</v>
      </c>
      <c r="P14" s="18">
        <f t="shared" si="4"/>
        <v>327.4472727</v>
      </c>
      <c r="Q14" s="18">
        <f t="shared" si="5"/>
        <v>81.86181818</v>
      </c>
      <c r="R14" s="18"/>
      <c r="S14" s="18">
        <f t="shared" si="6"/>
        <v>74.55161787</v>
      </c>
      <c r="T14" s="18">
        <f t="shared" si="7"/>
        <v>81.65177196</v>
      </c>
      <c r="U14" s="1">
        <f t="shared" si="13"/>
        <v>95</v>
      </c>
      <c r="V14" s="20"/>
      <c r="W14" s="1">
        <f t="shared" si="14"/>
        <v>1</v>
      </c>
      <c r="X14" s="14">
        <f>K14/hour*W14</f>
        <v>1.098055556</v>
      </c>
      <c r="Y14" s="1">
        <f t="shared" si="8"/>
        <v>71.6</v>
      </c>
      <c r="Z14" s="1">
        <v>88.0</v>
      </c>
      <c r="AA14" s="1">
        <v>64.0</v>
      </c>
      <c r="AB14" s="1">
        <v>22.0</v>
      </c>
      <c r="AC14" s="21">
        <v>19.9</v>
      </c>
      <c r="AD14" s="21">
        <v>20.5</v>
      </c>
      <c r="AE14" s="22">
        <f t="shared" si="9"/>
        <v>0.804725</v>
      </c>
      <c r="AF14" s="21"/>
      <c r="AG14" s="21"/>
    </row>
    <row r="15">
      <c r="A15" s="1" t="s">
        <v>51</v>
      </c>
      <c r="B15" s="1">
        <v>5.5</v>
      </c>
      <c r="C15" s="1" t="s">
        <v>36</v>
      </c>
      <c r="D15" s="1" t="s">
        <v>36</v>
      </c>
      <c r="E15" s="1" t="s">
        <v>36</v>
      </c>
      <c r="G15" s="1" t="s">
        <v>39</v>
      </c>
      <c r="H15" s="14">
        <f t="shared" si="10"/>
        <v>75</v>
      </c>
      <c r="I15" s="15">
        <f t="shared" si="15"/>
        <v>60</v>
      </c>
      <c r="J15" s="6">
        <f t="shared" si="1"/>
        <v>0.006828703704</v>
      </c>
      <c r="K15" s="16">
        <f t="shared" si="2"/>
        <v>0.03755787037</v>
      </c>
      <c r="L15" s="17">
        <f t="shared" si="12"/>
        <v>46179.86705</v>
      </c>
      <c r="M15" s="18"/>
      <c r="N15" s="18">
        <f t="shared" si="3"/>
        <v>560</v>
      </c>
      <c r="O15" s="19">
        <f>IFERROR(FORECAST(I15, OFFSET(Utilities!$B$4, MATCH(I15,Utilities!$A$4:$A$23,1)-1, 0, 2), OFFSET(Utilities!$A$4, MATCH(I15,Utilities!$A$4:$A$23,1)-1, 0, 2)), "Out of range")/100</f>
        <v>0.48</v>
      </c>
      <c r="P15" s="18">
        <f t="shared" si="4"/>
        <v>268.8</v>
      </c>
      <c r="Q15" s="18">
        <f t="shared" si="5"/>
        <v>67.2</v>
      </c>
      <c r="R15" s="18"/>
      <c r="S15" s="18">
        <f t="shared" si="6"/>
        <v>74.55161787</v>
      </c>
      <c r="T15" s="18">
        <f t="shared" si="7"/>
        <v>81.65177196</v>
      </c>
      <c r="U15" s="1">
        <f t="shared" si="13"/>
        <v>95</v>
      </c>
      <c r="V15" s="20"/>
      <c r="W15" s="1">
        <f t="shared" si="14"/>
        <v>1</v>
      </c>
      <c r="X15" s="14">
        <f>K15/hour*W15</f>
        <v>0.9013888889</v>
      </c>
      <c r="Y15" s="1">
        <f t="shared" si="8"/>
        <v>70.52</v>
      </c>
      <c r="Z15" s="1">
        <v>89.0</v>
      </c>
      <c r="AA15" s="1">
        <v>52.0</v>
      </c>
      <c r="AB15" s="1">
        <v>21.4</v>
      </c>
      <c r="AC15" s="21">
        <v>19.5</v>
      </c>
      <c r="AD15" s="21">
        <v>20.0</v>
      </c>
      <c r="AE15" s="22">
        <f t="shared" si="9"/>
        <v>0.799</v>
      </c>
      <c r="AF15" s="21"/>
      <c r="AG15" s="21"/>
    </row>
    <row r="16">
      <c r="A16" s="3" t="s">
        <v>52</v>
      </c>
      <c r="B16" s="3">
        <v>4.5</v>
      </c>
      <c r="C16" s="3" t="s">
        <v>36</v>
      </c>
      <c r="D16" s="23" t="s">
        <v>35</v>
      </c>
      <c r="E16" s="3" t="s">
        <v>35</v>
      </c>
      <c r="F16" s="24">
        <v>0.5</v>
      </c>
      <c r="G16" s="3" t="s">
        <v>37</v>
      </c>
      <c r="H16" s="4">
        <f t="shared" si="10"/>
        <v>79.5</v>
      </c>
      <c r="I16" s="15">
        <f t="shared" si="15"/>
        <v>60</v>
      </c>
      <c r="J16" s="6">
        <f t="shared" si="1"/>
        <v>0.006828703704</v>
      </c>
      <c r="K16" s="6">
        <f t="shared" si="2"/>
        <v>0.03072916667</v>
      </c>
      <c r="L16" s="25">
        <f t="shared" si="12"/>
        <v>46179.89778</v>
      </c>
      <c r="M16" s="8">
        <f>L19-L16</f>
        <v>0.1399884259</v>
      </c>
      <c r="N16" s="9">
        <f t="shared" si="3"/>
        <v>458.1818182</v>
      </c>
      <c r="O16" s="10">
        <f>IFERROR(FORECAST(I16, OFFSET(Utilities!$B$4, MATCH(I16,Utilities!$A$4:$A$23,1)-1, 0, 2), OFFSET(Utilities!$A$4, MATCH(I16,Utilities!$A$4:$A$23,1)-1, 0, 2)), "Out of range")/100</f>
        <v>0.48</v>
      </c>
      <c r="P16" s="9">
        <f t="shared" si="4"/>
        <v>219.9272727</v>
      </c>
      <c r="Q16" s="9">
        <f t="shared" si="5"/>
        <v>54.98181818</v>
      </c>
      <c r="R16" s="9">
        <f>sum(Q17:Q19)</f>
        <v>250.4727273</v>
      </c>
      <c r="S16" s="9">
        <f t="shared" si="6"/>
        <v>74.55161787</v>
      </c>
      <c r="T16" s="9">
        <f t="shared" si="7"/>
        <v>81.65177196</v>
      </c>
      <c r="U16" s="3">
        <f t="shared" si="13"/>
        <v>95</v>
      </c>
      <c r="V16" s="11">
        <f>ceiling(R16/U16,1)</f>
        <v>3</v>
      </c>
      <c r="W16" s="3">
        <f t="shared" si="14"/>
        <v>1</v>
      </c>
      <c r="X16" s="4">
        <f>K16/hour*W16</f>
        <v>0.7375</v>
      </c>
      <c r="Y16" s="3">
        <f t="shared" si="8"/>
        <v>68.9</v>
      </c>
      <c r="Z16" s="3">
        <v>91.0</v>
      </c>
      <c r="AA16" s="3">
        <v>44.0</v>
      </c>
      <c r="AB16" s="3">
        <v>20.5</v>
      </c>
      <c r="AC16" s="12">
        <v>19.0</v>
      </c>
      <c r="AD16" s="12">
        <v>19.4</v>
      </c>
      <c r="AE16" s="13">
        <f t="shared" si="9"/>
        <v>0.79213</v>
      </c>
      <c r="AF16" s="12"/>
      <c r="AG16" s="12"/>
    </row>
    <row r="17">
      <c r="A17" s="1" t="s">
        <v>53</v>
      </c>
      <c r="B17" s="1">
        <v>7.5</v>
      </c>
      <c r="C17" s="1" t="s">
        <v>36</v>
      </c>
      <c r="D17" s="27" t="s">
        <v>35</v>
      </c>
      <c r="E17" s="1" t="s">
        <v>35</v>
      </c>
      <c r="F17" s="26">
        <v>0.5833333333333334</v>
      </c>
      <c r="G17" s="1" t="s">
        <v>37</v>
      </c>
      <c r="H17" s="14">
        <f t="shared" si="10"/>
        <v>87</v>
      </c>
      <c r="I17" s="15">
        <f t="shared" si="15"/>
        <v>60</v>
      </c>
      <c r="J17" s="6">
        <f t="shared" si="1"/>
        <v>0.006828703704</v>
      </c>
      <c r="K17" s="16">
        <f t="shared" si="2"/>
        <v>0.05121527778</v>
      </c>
      <c r="L17" s="17">
        <f t="shared" si="12"/>
        <v>46179.949</v>
      </c>
      <c r="M17" s="28"/>
      <c r="N17" s="18">
        <f t="shared" si="3"/>
        <v>763.6363636</v>
      </c>
      <c r="O17" s="19">
        <f>IFERROR(FORECAST(I17, OFFSET(Utilities!$B$4, MATCH(I17,Utilities!$A$4:$A$23,1)-1, 0, 2), OFFSET(Utilities!$A$4, MATCH(I17,Utilities!$A$4:$A$23,1)-1, 0, 2)), "Out of range")/100</f>
        <v>0.48</v>
      </c>
      <c r="P17" s="18">
        <f t="shared" si="4"/>
        <v>366.5454545</v>
      </c>
      <c r="Q17" s="18">
        <f t="shared" si="5"/>
        <v>91.63636364</v>
      </c>
      <c r="R17" s="18"/>
      <c r="S17" s="18">
        <f t="shared" si="6"/>
        <v>74.55161787</v>
      </c>
      <c r="T17" s="18">
        <f t="shared" si="7"/>
        <v>81.65177196</v>
      </c>
      <c r="U17" s="1">
        <f t="shared" si="13"/>
        <v>95</v>
      </c>
      <c r="V17" s="1"/>
      <c r="W17" s="1">
        <f t="shared" si="14"/>
        <v>1</v>
      </c>
      <c r="X17" s="14">
        <f>K17/hour*W17</f>
        <v>1.229166667</v>
      </c>
      <c r="Y17" s="1">
        <f t="shared" si="8"/>
        <v>67.1</v>
      </c>
      <c r="Z17" s="1">
        <v>94.0</v>
      </c>
      <c r="AA17" s="1">
        <v>39.0</v>
      </c>
      <c r="AB17" s="1">
        <v>19.5</v>
      </c>
      <c r="AC17" s="21">
        <v>18.5</v>
      </c>
      <c r="AD17" s="21">
        <v>18.7</v>
      </c>
      <c r="AE17" s="22">
        <f t="shared" si="9"/>
        <v>0.784115</v>
      </c>
      <c r="AF17" s="21"/>
      <c r="AG17" s="21"/>
    </row>
    <row r="18">
      <c r="A18" s="1" t="s">
        <v>54</v>
      </c>
      <c r="B18" s="1">
        <v>5.0</v>
      </c>
      <c r="C18" s="1" t="s">
        <v>36</v>
      </c>
      <c r="D18" s="27" t="s">
        <v>35</v>
      </c>
      <c r="E18" s="1" t="s">
        <v>35</v>
      </c>
      <c r="F18" s="26">
        <v>0.625</v>
      </c>
      <c r="G18" s="1" t="s">
        <v>37</v>
      </c>
      <c r="H18" s="14">
        <f t="shared" si="10"/>
        <v>92</v>
      </c>
      <c r="I18" s="15">
        <f t="shared" si="15"/>
        <v>60</v>
      </c>
      <c r="J18" s="6">
        <f t="shared" si="1"/>
        <v>0.006828703704</v>
      </c>
      <c r="K18" s="16">
        <f t="shared" si="2"/>
        <v>0.03414351852</v>
      </c>
      <c r="L18" s="17">
        <f t="shared" si="12"/>
        <v>46179.98314</v>
      </c>
      <c r="M18" s="28"/>
      <c r="N18" s="18">
        <f t="shared" si="3"/>
        <v>509.0909091</v>
      </c>
      <c r="O18" s="19">
        <f>IFERROR(FORECAST(I18, OFFSET(Utilities!$B$4, MATCH(I18,Utilities!$A$4:$A$23,1)-1, 0, 2), OFFSET(Utilities!$A$4, MATCH(I18,Utilities!$A$4:$A$23,1)-1, 0, 2)), "Out of range")/100</f>
        <v>0.48</v>
      </c>
      <c r="P18" s="18">
        <f t="shared" si="4"/>
        <v>244.3636364</v>
      </c>
      <c r="Q18" s="18">
        <f t="shared" si="5"/>
        <v>61.09090909</v>
      </c>
      <c r="R18" s="18"/>
      <c r="S18" s="18">
        <f t="shared" si="6"/>
        <v>74.55161787</v>
      </c>
      <c r="T18" s="18">
        <f t="shared" si="7"/>
        <v>81.65177196</v>
      </c>
      <c r="U18" s="1">
        <f t="shared" si="13"/>
        <v>95</v>
      </c>
      <c r="V18" s="1"/>
      <c r="W18" s="1">
        <f t="shared" si="14"/>
        <v>1</v>
      </c>
      <c r="X18" s="14">
        <f>K18/hour*W18</f>
        <v>0.8194444444</v>
      </c>
      <c r="Y18" s="1">
        <f t="shared" si="8"/>
        <v>65.12</v>
      </c>
      <c r="Z18" s="1">
        <v>96.0</v>
      </c>
      <c r="AA18" s="1">
        <v>41.0</v>
      </c>
      <c r="AB18" s="1">
        <v>18.4</v>
      </c>
      <c r="AC18" s="21">
        <v>17.8</v>
      </c>
      <c r="AD18" s="21">
        <v>17.9</v>
      </c>
      <c r="AE18" s="22">
        <f t="shared" si="9"/>
        <v>0.774955</v>
      </c>
      <c r="AF18" s="21"/>
      <c r="AG18" s="21"/>
    </row>
    <row r="19">
      <c r="A19" s="1" t="s">
        <v>55</v>
      </c>
      <c r="B19" s="1">
        <v>8.0</v>
      </c>
      <c r="C19" s="1" t="s">
        <v>35</v>
      </c>
      <c r="D19" s="27" t="s">
        <v>35</v>
      </c>
      <c r="E19" s="1" t="s">
        <v>36</v>
      </c>
      <c r="F19" s="26">
        <v>0.7083333333333334</v>
      </c>
      <c r="G19" s="1" t="s">
        <v>37</v>
      </c>
      <c r="H19" s="14">
        <f t="shared" si="10"/>
        <v>100</v>
      </c>
      <c r="I19" s="15">
        <f t="shared" si="15"/>
        <v>60</v>
      </c>
      <c r="J19" s="6">
        <f t="shared" si="1"/>
        <v>0.006828703704</v>
      </c>
      <c r="K19" s="16">
        <f t="shared" si="2"/>
        <v>0.05462962963</v>
      </c>
      <c r="L19" s="17">
        <f t="shared" si="12"/>
        <v>46180.03777</v>
      </c>
      <c r="M19" s="28"/>
      <c r="N19" s="18">
        <f t="shared" si="3"/>
        <v>814.5454545</v>
      </c>
      <c r="O19" s="19">
        <f>IFERROR(FORECAST(I19, OFFSET(Utilities!$B$4, MATCH(I19,Utilities!$A$4:$A$23,1)-1, 0, 2), OFFSET(Utilities!$A$4, MATCH(I19,Utilities!$A$4:$A$23,1)-1, 0, 2)), "Out of range")/100</f>
        <v>0.48</v>
      </c>
      <c r="P19" s="18">
        <f t="shared" si="4"/>
        <v>390.9818182</v>
      </c>
      <c r="Q19" s="18">
        <f t="shared" si="5"/>
        <v>97.74545455</v>
      </c>
      <c r="R19" s="18"/>
      <c r="S19" s="18">
        <f t="shared" si="6"/>
        <v>74.55161787</v>
      </c>
      <c r="T19" s="18">
        <f t="shared" si="7"/>
        <v>81.65177196</v>
      </c>
      <c r="U19" s="1">
        <f t="shared" si="13"/>
        <v>95</v>
      </c>
      <c r="V19" s="1"/>
      <c r="W19" s="1">
        <f t="shared" si="14"/>
        <v>1</v>
      </c>
      <c r="X19" s="14">
        <f>K19/hour*W19</f>
        <v>1.311111111</v>
      </c>
      <c r="Y19" s="1">
        <f t="shared" si="8"/>
        <v>63.14</v>
      </c>
      <c r="Z19" s="1">
        <v>97.0</v>
      </c>
      <c r="AA19" s="1">
        <v>57.0</v>
      </c>
      <c r="AB19" s="1">
        <v>17.3</v>
      </c>
      <c r="AC19" s="21">
        <v>16.8</v>
      </c>
      <c r="AD19" s="21">
        <v>17.0</v>
      </c>
      <c r="AE19" s="22">
        <f t="shared" si="9"/>
        <v>0.76465</v>
      </c>
      <c r="AF19" s="21"/>
      <c r="AG19" s="21"/>
    </row>
    <row r="20">
      <c r="A20" s="1" t="s">
        <v>56</v>
      </c>
      <c r="K20" s="28">
        <f>SUM(K2:K19)</f>
        <v>0.6627683738</v>
      </c>
      <c r="L20" s="17">
        <f t="shared" si="12"/>
        <v>46180.70054</v>
      </c>
      <c r="M20" s="18"/>
      <c r="N20" s="18">
        <f>SUM(N2:N19)</f>
        <v>10181.81818</v>
      </c>
      <c r="P20" s="18">
        <f>SUM(P2:P19)</f>
        <v>5155.828364</v>
      </c>
      <c r="Q20" s="18">
        <f t="shared" si="5"/>
        <v>1288.957091</v>
      </c>
      <c r="R20" s="18">
        <f>SUM(R2:R19)</f>
        <v>1288.957091</v>
      </c>
      <c r="AF20" s="21"/>
      <c r="AG20" s="21"/>
    </row>
    <row r="23">
      <c r="A23" s="29" t="s">
        <v>57</v>
      </c>
      <c r="B23" s="1" t="s">
        <v>58</v>
      </c>
    </row>
    <row r="24">
      <c r="A24" s="30">
        <v>0.004097222222222223</v>
      </c>
      <c r="B24" s="16">
        <v>0.041666666666666664</v>
      </c>
    </row>
    <row r="25">
      <c r="A25" s="31"/>
    </row>
  </sheetData>
  <drawing r:id="rId1"/>
</worksheet>
</file>